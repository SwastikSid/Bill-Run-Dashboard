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vodafone-my.sharepoint.com/personal/swastiksiddharth_sahu_vodafone_com/Documents/Desktop/"/>
    </mc:Choice>
  </mc:AlternateContent>
  <xr:revisionPtr revIDLastSave="580" documentId="8_{FA6341B0-4205-4A50-A6FC-8ED41C59A467}" xr6:coauthVersionLast="47" xr6:coauthVersionMax="47" xr10:uidLastSave="{C908357E-7CDF-4E60-952E-1801B031469E}"/>
  <bookViews>
    <workbookView xWindow="-108" yWindow="-108" windowWidth="23256" windowHeight="12456" firstSheet="1" activeTab="1" xr2:uid="{9BBE1D27-C5E0-484D-8A82-D558F7F7D2B3}"/>
  </bookViews>
  <sheets>
    <sheet name="JUN 26" sheetId="3" r:id="rId1"/>
    <sheet name="JUL 26" sheetId="2" r:id="rId2"/>
    <sheet name="AUG 26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9" i="3" l="1"/>
  <c r="J13" i="3"/>
  <c r="J16" i="3"/>
  <c r="H14" i="3"/>
  <c r="H27" i="3"/>
  <c r="J26" i="3"/>
  <c r="H26" i="3"/>
  <c r="J25" i="3"/>
  <c r="H25" i="3"/>
  <c r="H23" i="3"/>
  <c r="J22" i="3"/>
  <c r="H22" i="3"/>
  <c r="H21" i="3"/>
  <c r="H20" i="3"/>
  <c r="H19" i="3"/>
  <c r="I19" i="3" s="1" a="1"/>
  <c r="I19" i="3" s="1"/>
  <c r="H16" i="3"/>
  <c r="H15" i="3"/>
  <c r="H13" i="3"/>
  <c r="H12" i="3"/>
  <c r="J11" i="3"/>
  <c r="H11" i="3"/>
  <c r="H10" i="3"/>
  <c r="J9" i="3"/>
  <c r="H9" i="3"/>
  <c r="H8" i="3"/>
  <c r="J7" i="3"/>
  <c r="H7" i="3"/>
  <c r="H6" i="3"/>
  <c r="H5" i="3"/>
  <c r="H4" i="3"/>
  <c r="J3" i="3"/>
  <c r="H3" i="3"/>
  <c r="J27" i="2"/>
  <c r="J26" i="2"/>
  <c r="H26" i="2"/>
  <c r="J23" i="2"/>
  <c r="J13" i="2"/>
  <c r="J18" i="2"/>
  <c r="J15" i="2"/>
  <c r="J11" i="2"/>
  <c r="J9" i="2"/>
  <c r="J7" i="2"/>
  <c r="J3" i="2"/>
  <c r="J29" i="1" a="1"/>
  <c r="J29" i="1"/>
  <c r="J28" i="1"/>
  <c r="H28" i="1"/>
  <c r="J25" i="1"/>
  <c r="J11" i="1"/>
  <c r="J18" i="1"/>
  <c r="J3" i="1"/>
  <c r="J15" i="1"/>
  <c r="H15" i="1"/>
  <c r="J13" i="1"/>
  <c r="J9" i="1"/>
  <c r="J7" i="1"/>
  <c r="A1" i="1" a="1"/>
  <c r="A1" i="1"/>
  <c r="I18" i="2" a="1"/>
  <c r="I18" i="2"/>
  <c r="I18" i="1" a="1"/>
  <c r="I18" i="1"/>
  <c r="H27" i="2"/>
  <c r="H28" i="2"/>
  <c r="H24" i="2"/>
  <c r="H23" i="2"/>
  <c r="H22" i="2"/>
  <c r="H21" i="2"/>
  <c r="H20" i="2"/>
  <c r="H19" i="2"/>
  <c r="H18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9" i="1"/>
  <c r="H30" i="1"/>
  <c r="H19" i="1"/>
  <c r="H20" i="1"/>
  <c r="H21" i="1"/>
  <c r="H22" i="1"/>
  <c r="H23" i="1"/>
  <c r="H24" i="1"/>
  <c r="H4" i="1"/>
  <c r="H5" i="1"/>
  <c r="H6" i="1"/>
  <c r="H7" i="1"/>
  <c r="H8" i="1"/>
  <c r="H9" i="1"/>
  <c r="H10" i="1"/>
  <c r="H11" i="1"/>
  <c r="H12" i="1"/>
  <c r="H13" i="1"/>
  <c r="H14" i="1"/>
  <c r="H25" i="1"/>
  <c r="H26" i="1"/>
  <c r="H18" i="1"/>
  <c r="H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<sst xmlns="http://schemas.openxmlformats.org/spreadsheetml/2006/main" count="293" uniqueCount="65">
  <si>
    <t>PRE FISCALIZATION STEPS</t>
  </si>
  <si>
    <t>Categories</t>
  </si>
  <si>
    <t>Billing_type</t>
  </si>
  <si>
    <t>pin_bill_day_full Process</t>
  </si>
  <si>
    <t>Category</t>
  </si>
  <si>
    <t>Comments</t>
  </si>
  <si>
    <t>Start time</t>
  </si>
  <si>
    <t>End time</t>
  </si>
  <si>
    <t>Raw Duration</t>
  </si>
  <si>
    <t>Total Duration (In case of stuck/restarted)</t>
  </si>
  <si>
    <t>Total Duration</t>
  </si>
  <si>
    <t>Pre billing Preparation</t>
  </si>
  <si>
    <t>full</t>
  </si>
  <si>
    <t>Pin_deferred_act</t>
  </si>
  <si>
    <t>Billing action</t>
  </si>
  <si>
    <t>Completed, no errors</t>
  </si>
  <si>
    <t>Pin_cycle_fees cycle_fees</t>
  </si>
  <si>
    <t xml:space="preserve">Pin_cycle_fees purchase </t>
  </si>
  <si>
    <t xml:space="preserve">Pin_cycle_fees cancel </t>
  </si>
  <si>
    <t>Billing Execution</t>
  </si>
  <si>
    <t>./vf_pin_bill_make_bill -verbose -billinfo_type subscription</t>
  </si>
  <si>
    <t>Completed, 176 errors</t>
  </si>
  <si>
    <t>./vf_pin_bill_make_bill -verbose -billinfo_type account</t>
  </si>
  <si>
    <t>Post-Billing Updates</t>
  </si>
  <si>
    <t xml:space="preserve">pin_cycle_forward </t>
  </si>
  <si>
    <t>Completed, 7 errors</t>
  </si>
  <si>
    <t>pin_deferred_act -verbose</t>
  </si>
  <si>
    <t>Subs Invoicing</t>
  </si>
  <si>
    <t>udmt.pl invoice_number</t>
  </si>
  <si>
    <t>vf_pin_inv_accts.pl -verbose -detail -subscription_level</t>
  </si>
  <si>
    <t>Completed, 523 error</t>
  </si>
  <si>
    <t>Fiscalization</t>
  </si>
  <si>
    <t>./vf_pin_gen_fiscal_data -verbose -all all_customers</t>
  </si>
  <si>
    <t>MTA</t>
  </si>
  <si>
    <t>Completed, 887 error</t>
  </si>
  <si>
    <t>./udmt.pl post_bill_fiscal_correction</t>
  </si>
  <si>
    <t>Udmt Action</t>
  </si>
  <si>
    <t>1up Team Process</t>
  </si>
  <si>
    <t>Fiscalization Check</t>
  </si>
  <si>
    <t>Action from 1up Team</t>
  </si>
  <si>
    <t>POST FISCALIZATION STEPS</t>
  </si>
  <si>
    <t>NR</t>
  </si>
  <si>
    <t>Process</t>
  </si>
  <si>
    <t>Remarks</t>
  </si>
  <si>
    <t>Duration</t>
  </si>
  <si>
    <t>Account Level Invoicing</t>
  </si>
  <si>
    <t>Invoice Action</t>
  </si>
  <si>
    <t>Xml Exporting</t>
  </si>
  <si>
    <t xml:space="preserve">Xml exporting for FIX line accounts </t>
  </si>
  <si>
    <t>Xml exporting for mobile</t>
  </si>
  <si>
    <t>Darwin Process</t>
  </si>
  <si>
    <t>Darwin reports – for fix and Mobile</t>
  </si>
  <si>
    <t>Reporting</t>
  </si>
  <si>
    <t>VAT Docgen</t>
  </si>
  <si>
    <t>Fiscal VAT PDF</t>
  </si>
  <si>
    <t>PDF Bursting</t>
  </si>
  <si>
    <t>Non-Tax Docgen</t>
  </si>
  <si>
    <t>Fiscal PDF</t>
  </si>
  <si>
    <t>Non-Fiscal VAT PDF (Dummy)</t>
  </si>
  <si>
    <t>Completed, 845 errors</t>
  </si>
  <si>
    <t>Completed, 587 errors</t>
  </si>
  <si>
    <t>Completed, 650 errors</t>
  </si>
  <si>
    <t>Completed, 1 errors</t>
  </si>
  <si>
    <t>Completed, 308 errors</t>
  </si>
  <si>
    <t>Completed, 642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</si>
</sst>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sz val="11"/>
      <color rgb="FF242424"/>
      <name val="Aptos Narrow"/>
      <family val="2"/>
      <scheme val="minor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1"/>
      <color theme="1"/>
      <name val="Aptos Narrow"/>
      <charset val="1"/>
    </font>
    <font>
      <sz val="11"/>
      <color theme="1"/>
      <name val="Calibri"/>
    </font>
    <font>
      <sz val="11"/>
      <color rgb="FF242424"/>
      <name val="Calibri"/>
    </font>
    <font>
      <sz val="11"/>
      <color rgb="FF000000"/>
      <name val="Calibri"/>
    </font>
    <font>
      <sz val="11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22" fontId="3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22" fontId="5" fillId="0" borderId="0" xfId="0" applyNumberFormat="1" applyFont="1"/>
    <xf numFmtId="22" fontId="5" fillId="0" borderId="0" xfId="0" applyNumberFormat="1" applyFont="1" applyAlignment="1">
      <alignment vertical="top"/>
    </xf>
    <xf numFmtId="22" fontId="6" fillId="0" borderId="0" xfId="0" applyNumberFormat="1" applyFont="1" applyAlignment="1">
      <alignment vertical="top"/>
    </xf>
    <xf numFmtId="22" fontId="5" fillId="0" borderId="0" xfId="0" applyNumberFormat="1" applyFont="1" applyAlignment="1">
      <alignment horizontal="center" vertical="top"/>
    </xf>
    <xf numFmtId="0" fontId="1" fillId="0" borderId="0" xfId="0" applyFont="1" applyAlignment="1">
      <alignment vertical="center"/>
    </xf>
    <xf numFmtId="0" fontId="7" fillId="2" borderId="0" xfId="0" applyFont="1" applyFill="1"/>
    <xf numFmtId="0" fontId="7" fillId="3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 vertical="top"/>
    </xf>
    <xf numFmtId="0" fontId="7" fillId="0" borderId="0" xfId="0" applyFont="1" applyAlignment="1">
      <alignment vertical="center"/>
    </xf>
    <xf numFmtId="22" fontId="8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left"/>
    </xf>
    <xf numFmtId="22" fontId="10" fillId="0" borderId="0" xfId="0" applyNumberFormat="1" applyFont="1" applyAlignment="1">
      <alignment vertical="top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22" fontId="9" fillId="0" borderId="0" xfId="0" applyNumberFormat="1" applyFont="1" applyBorder="1" applyAlignment="1">
      <alignment horizontal="left" vertical="top"/>
    </xf>
    <xf numFmtId="0" fontId="2" fillId="0" borderId="0" xfId="0" applyFont="1" applyAlignment="1">
      <alignment horizontal="left"/>
    </xf>
    <xf numFmtId="22" fontId="10" fillId="0" borderId="0" xfId="0" applyNumberFormat="1" applyFont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D69D-F51F-4E3C-872B-26A177462021}">
  <dimension ref="A1:J27"/>
  <sheetViews>
    <sheetView workbookViewId="0">
      <selection activeCell="F21" sqref="F21"/>
    </sheetView>
  </sheetViews>
  <sheetFormatPr defaultRowHeight="15"/>
  <cols>
    <col min="1" max="1" width="22" bestFit="1" customWidth="1"/>
    <col min="2" max="2" width="11.28515625" bestFit="1" customWidth="1"/>
    <col min="3" max="3" width="53.85546875" bestFit="1" customWidth="1"/>
    <col min="4" max="4" width="20.85546875" bestFit="1" customWidth="1"/>
    <col min="5" max="5" width="21" bestFit="1" customWidth="1"/>
    <col min="6" max="7" width="14.85546875" bestFit="1" customWidth="1"/>
    <col min="8" max="8" width="13" bestFit="1" customWidth="1"/>
    <col min="9" max="9" width="38.7109375" bestFit="1" customWidth="1"/>
    <col min="10" max="10" width="13.85546875" bestFit="1" customWidth="1"/>
  </cols>
  <sheetData>
    <row r="1" spans="1:10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3"/>
    </row>
    <row r="2" spans="1:10">
      <c r="A2" s="34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35" t="s">
        <v>6</v>
      </c>
      <c r="G2" s="35" t="s">
        <v>7</v>
      </c>
      <c r="H2" s="35" t="s">
        <v>8</v>
      </c>
      <c r="I2" s="35" t="s">
        <v>9</v>
      </c>
      <c r="J2" s="35" t="s">
        <v>10</v>
      </c>
    </row>
    <row r="3" spans="1:10">
      <c r="A3" s="26" t="s">
        <v>11</v>
      </c>
      <c r="B3" s="21" t="s">
        <v>12</v>
      </c>
      <c r="C3" s="21" t="s">
        <v>13</v>
      </c>
      <c r="D3" s="36" t="s">
        <v>14</v>
      </c>
      <c r="E3" s="40" t="s">
        <v>15</v>
      </c>
      <c r="F3" s="37">
        <v>46204.021585648145</v>
      </c>
      <c r="G3" s="37">
        <v>46204.021643518521</v>
      </c>
      <c r="H3" s="36" t="str">
        <f>ROUND((G3-F3)*24,3)&amp;" hrs"</f>
        <v>0.001 hrs</v>
      </c>
      <c r="I3" s="23"/>
      <c r="J3" s="24" t="str">
        <f>ROUND((G6-F3)*24,3)&amp;" hrs"</f>
        <v>0.006 hrs</v>
      </c>
    </row>
    <row r="4" spans="1:10">
      <c r="A4" s="26"/>
      <c r="B4" s="21" t="s">
        <v>12</v>
      </c>
      <c r="C4" s="21" t="s">
        <v>16</v>
      </c>
      <c r="D4" s="36" t="s">
        <v>14</v>
      </c>
      <c r="E4" s="40" t="s">
        <v>15</v>
      </c>
      <c r="F4" s="37">
        <v>46204.021643518521</v>
      </c>
      <c r="G4" s="37">
        <v>46204.021701388891</v>
      </c>
      <c r="H4" s="36" t="str">
        <f t="shared" ref="H4:H15" si="0">ROUND((G4-F4)*24,3)&amp;" hrs"</f>
        <v>0.001 hrs</v>
      </c>
      <c r="I4" s="23"/>
      <c r="J4" s="24"/>
    </row>
    <row r="5" spans="1:10">
      <c r="A5" s="26"/>
      <c r="B5" s="21" t="s">
        <v>12</v>
      </c>
      <c r="C5" s="21" t="s">
        <v>17</v>
      </c>
      <c r="D5" s="36" t="s">
        <v>14</v>
      </c>
      <c r="E5" s="40" t="s">
        <v>15</v>
      </c>
      <c r="F5" s="37">
        <v>46204.021701388891</v>
      </c>
      <c r="G5" s="37">
        <v>46204.02175925926</v>
      </c>
      <c r="H5" s="36" t="str">
        <f t="shared" si="0"/>
        <v>0.001 hrs</v>
      </c>
      <c r="I5" s="23"/>
      <c r="J5" s="24"/>
    </row>
    <row r="6" spans="1:10">
      <c r="A6" s="26"/>
      <c r="B6" s="21" t="s">
        <v>12</v>
      </c>
      <c r="C6" s="21" t="s">
        <v>18</v>
      </c>
      <c r="D6" s="36" t="s">
        <v>14</v>
      </c>
      <c r="E6" s="40" t="s">
        <v>15</v>
      </c>
      <c r="F6" s="37">
        <v>46204.02175925926</v>
      </c>
      <c r="G6" s="37">
        <v>46204.021840277775</v>
      </c>
      <c r="H6" s="36" t="str">
        <f t="shared" si="0"/>
        <v>0.002 hrs</v>
      </c>
      <c r="I6" s="23"/>
      <c r="J6" s="24"/>
    </row>
    <row r="7" spans="1:10">
      <c r="A7" s="26" t="s">
        <v>19</v>
      </c>
      <c r="B7" s="21" t="s">
        <v>12</v>
      </c>
      <c r="C7" s="21" t="s">
        <v>20</v>
      </c>
      <c r="D7" s="36" t="s">
        <v>14</v>
      </c>
      <c r="E7" s="40" t="s">
        <v>21</v>
      </c>
      <c r="F7" s="37">
        <v>46204.021840277775</v>
      </c>
      <c r="G7" s="37">
        <v>46204.169918981483</v>
      </c>
      <c r="H7" s="36" t="str">
        <f t="shared" si="0"/>
        <v>3.554 hrs</v>
      </c>
      <c r="I7" s="23"/>
      <c r="J7" s="24" t="str">
        <f>ROUND((G8-F7)*24,3)&amp;" hrs"</f>
        <v>3.966 hrs</v>
      </c>
    </row>
    <row r="8" spans="1:10">
      <c r="A8" s="26"/>
      <c r="B8" s="21" t="s">
        <v>12</v>
      </c>
      <c r="C8" s="21" t="s">
        <v>22</v>
      </c>
      <c r="D8" s="36" t="s">
        <v>14</v>
      </c>
      <c r="E8" s="40" t="s">
        <v>15</v>
      </c>
      <c r="F8" s="37">
        <v>46204.169918981483</v>
      </c>
      <c r="G8" s="37">
        <v>46204.187083333331</v>
      </c>
      <c r="H8" s="36" t="str">
        <f t="shared" si="0"/>
        <v>0.412 hrs</v>
      </c>
      <c r="I8" s="23"/>
      <c r="J8" s="24"/>
    </row>
    <row r="9" spans="1:10">
      <c r="A9" s="26" t="s">
        <v>23</v>
      </c>
      <c r="B9" s="21" t="s">
        <v>12</v>
      </c>
      <c r="C9" s="21" t="s">
        <v>24</v>
      </c>
      <c r="D9" s="36" t="s">
        <v>14</v>
      </c>
      <c r="E9" s="40" t="s">
        <v>25</v>
      </c>
      <c r="F9" s="37">
        <v>46204.187083333331</v>
      </c>
      <c r="G9" s="37">
        <v>46204.187384259261</v>
      </c>
      <c r="H9" s="36" t="str">
        <f t="shared" si="0"/>
        <v>0.007 hrs</v>
      </c>
      <c r="I9" s="23"/>
      <c r="J9" s="24" t="str">
        <f>ROUND((G10-F9)*24,3)&amp;" hrs"</f>
        <v>0.009 hrs</v>
      </c>
    </row>
    <row r="10" spans="1:10">
      <c r="A10" s="26"/>
      <c r="B10" s="21" t="s">
        <v>12</v>
      </c>
      <c r="C10" s="21" t="s">
        <v>26</v>
      </c>
      <c r="D10" s="36" t="s">
        <v>14</v>
      </c>
      <c r="E10" s="40" t="s">
        <v>15</v>
      </c>
      <c r="F10" s="37">
        <v>46204.187384259261</v>
      </c>
      <c r="G10" s="37">
        <v>46204.187442129631</v>
      </c>
      <c r="H10" s="36" t="str">
        <f t="shared" si="0"/>
        <v>0.001 hrs</v>
      </c>
      <c r="I10" s="23"/>
      <c r="J10" s="24"/>
    </row>
    <row r="11" spans="1:10">
      <c r="A11" s="26" t="s">
        <v>27</v>
      </c>
      <c r="B11" s="21" t="s">
        <v>12</v>
      </c>
      <c r="C11" s="21" t="s">
        <v>28</v>
      </c>
      <c r="D11" s="36" t="s">
        <v>14</v>
      </c>
      <c r="E11" s="40" t="s">
        <v>15</v>
      </c>
      <c r="F11" s="37">
        <v>46204.187442129631</v>
      </c>
      <c r="G11" s="37">
        <v>46204.189780092594</v>
      </c>
      <c r="H11" s="36" t="str">
        <f t="shared" si="0"/>
        <v>0.056 hrs</v>
      </c>
      <c r="I11" s="23"/>
      <c r="J11" s="24" t="str">
        <f>ROUND((G12-F11)*24,3)&amp;" hrs"</f>
        <v>2.351 hrs</v>
      </c>
    </row>
    <row r="12" spans="1:10">
      <c r="A12" s="26"/>
      <c r="B12" s="21" t="s">
        <v>12</v>
      </c>
      <c r="C12" s="21" t="s">
        <v>29</v>
      </c>
      <c r="D12" s="36" t="s">
        <v>14</v>
      </c>
      <c r="E12" s="40" t="s">
        <v>30</v>
      </c>
      <c r="F12" s="37">
        <v>46204.189780092594</v>
      </c>
      <c r="G12" s="37">
        <v>46204.285393518519</v>
      </c>
      <c r="H12" s="36" t="str">
        <f t="shared" si="0"/>
        <v>2.295 hrs</v>
      </c>
      <c r="I12" s="23"/>
      <c r="J12" s="24"/>
    </row>
    <row r="13" spans="1:10">
      <c r="A13" s="26" t="s">
        <v>31</v>
      </c>
      <c r="B13" s="26" t="s">
        <v>12</v>
      </c>
      <c r="C13" s="26" t="s">
        <v>32</v>
      </c>
      <c r="D13" s="26" t="s">
        <v>33</v>
      </c>
      <c r="E13" s="41" t="s">
        <v>34</v>
      </c>
      <c r="F13" s="37">
        <v>46204.285393518519</v>
      </c>
      <c r="G13" s="37">
        <v>46204.366493055553</v>
      </c>
      <c r="H13" s="36" t="str">
        <f t="shared" si="0"/>
        <v>1.946 hrs</v>
      </c>
      <c r="I13" s="23"/>
      <c r="J13" s="24" t="str">
        <f>ROUND((G15-F13)*24,3)&amp;" hrs"</f>
        <v>4.266 hrs</v>
      </c>
    </row>
    <row r="14" spans="1:10">
      <c r="A14" s="26"/>
      <c r="B14" s="26"/>
      <c r="C14" s="26"/>
      <c r="D14" s="26"/>
      <c r="E14" s="41"/>
      <c r="F14" s="37">
        <v>46204.384548611109</v>
      </c>
      <c r="G14" s="37">
        <v>46204.408275462964</v>
      </c>
      <c r="H14" s="36" t="str">
        <f t="shared" si="0"/>
        <v>0.569 hrs</v>
      </c>
      <c r="I14" s="23"/>
      <c r="J14" s="24"/>
    </row>
    <row r="15" spans="1:10">
      <c r="A15" s="26"/>
      <c r="B15" s="21" t="s">
        <v>12</v>
      </c>
      <c r="C15" s="21" t="s">
        <v>35</v>
      </c>
      <c r="D15" s="21" t="s">
        <v>36</v>
      </c>
      <c r="E15" s="18" t="s">
        <v>15</v>
      </c>
      <c r="F15" s="37">
        <v>46204.408275462964</v>
      </c>
      <c r="G15" s="37">
        <v>46204.463136574072</v>
      </c>
      <c r="H15" s="36" t="str">
        <f t="shared" si="0"/>
        <v>1.317 hrs</v>
      </c>
      <c r="I15" s="23"/>
      <c r="J15" s="24"/>
    </row>
    <row r="16" spans="1:10">
      <c r="A16" s="23" t="s">
        <v>37</v>
      </c>
      <c r="B16" s="21" t="s">
        <v>12</v>
      </c>
      <c r="C16" s="21" t="s">
        <v>38</v>
      </c>
      <c r="D16" s="21" t="s">
        <v>39</v>
      </c>
      <c r="E16" s="21"/>
      <c r="F16" s="37">
        <v>46204.678472222222</v>
      </c>
      <c r="G16" s="37">
        <v>46205.380381944444</v>
      </c>
      <c r="H16" s="36" t="str">
        <f>ROUND((G16-F16)*24,3)&amp;" hrs"</f>
        <v>16.846 hrs</v>
      </c>
      <c r="I16" s="23"/>
      <c r="J16" s="38" t="str">
        <f>ROUND((G16-F16)*24,3)&amp;" hrs"</f>
        <v>16.846 hrs</v>
      </c>
    </row>
    <row r="17" spans="1:10">
      <c r="A17" s="32" t="s">
        <v>40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>
      <c r="A18" s="34" t="s">
        <v>1</v>
      </c>
      <c r="B18" s="35" t="s">
        <v>41</v>
      </c>
      <c r="C18" s="35" t="s">
        <v>42</v>
      </c>
      <c r="D18" s="35" t="s">
        <v>4</v>
      </c>
      <c r="E18" s="35" t="s">
        <v>43</v>
      </c>
      <c r="F18" s="35" t="s">
        <v>6</v>
      </c>
      <c r="G18" s="35" t="s">
        <v>7</v>
      </c>
      <c r="H18" s="35" t="s">
        <v>44</v>
      </c>
      <c r="I18" s="35" t="s">
        <v>9</v>
      </c>
      <c r="J18" s="35" t="s">
        <v>10</v>
      </c>
    </row>
    <row r="19" spans="1:10">
      <c r="A19" s="26" t="s">
        <v>45</v>
      </c>
      <c r="B19" s="26">
        <v>1</v>
      </c>
      <c r="C19" s="31" t="s">
        <v>45</v>
      </c>
      <c r="D19" s="26" t="s">
        <v>46</v>
      </c>
      <c r="E19" s="21"/>
      <c r="F19" s="39">
        <v>46205.380381944444</v>
      </c>
      <c r="G19" s="39">
        <v>46205.765972222223</v>
      </c>
      <c r="H19" s="21" t="str">
        <f>ROUND((G19-F19)*24,3)&amp;" hrs"</f>
        <v>9.254 hrs</v>
      </c>
      <c r="I19" s="26" t="str" cm="1">
        <f t="array" ref="I19">TEXT(SUMPRODUCT(VALUE(SUBSTITUTE(H19:H21," hrs",""))),"0.000")&amp;" hrs"</f>
        <v>19.371 hrs</v>
      </c>
      <c r="J19" s="26" t="str">
        <f>ROUND((G21-F19)*24,3)&amp;" hrs"</f>
        <v>41.621 hrs</v>
      </c>
    </row>
    <row r="20" spans="1:10">
      <c r="A20" s="26"/>
      <c r="B20" s="26"/>
      <c r="C20" s="26"/>
      <c r="D20" s="26"/>
      <c r="E20" s="21"/>
      <c r="F20" s="39">
        <v>46205.844444444447</v>
      </c>
      <c r="G20" s="39">
        <v>46205.901388888888</v>
      </c>
      <c r="H20" s="21" t="str">
        <f t="shared" ref="H20:H23" si="1">ROUND((G20-F20)*24,3)&amp;" hrs"</f>
        <v>1.367 hrs</v>
      </c>
      <c r="I20" s="26"/>
      <c r="J20" s="26"/>
    </row>
    <row r="21" spans="1:10">
      <c r="A21" s="26"/>
      <c r="B21" s="26"/>
      <c r="C21" s="26"/>
      <c r="D21" s="26"/>
      <c r="E21" s="21"/>
      <c r="F21" s="39">
        <v>46206.75</v>
      </c>
      <c r="G21" s="39">
        <v>46207.114583333336</v>
      </c>
      <c r="H21" s="21" t="str">
        <f t="shared" si="1"/>
        <v>8.75 hrs</v>
      </c>
      <c r="I21" s="26"/>
      <c r="J21" s="26"/>
    </row>
    <row r="22" spans="1:10">
      <c r="A22" s="26" t="s">
        <v>47</v>
      </c>
      <c r="B22" s="21">
        <v>2</v>
      </c>
      <c r="C22" s="21" t="s">
        <v>48</v>
      </c>
      <c r="D22" s="21" t="s">
        <v>46</v>
      </c>
      <c r="E22" s="21"/>
      <c r="F22" s="39">
        <v>46206.528391203705</v>
      </c>
      <c r="G22" s="39">
        <v>46206.676921296297</v>
      </c>
      <c r="H22" s="21" t="str">
        <f t="shared" si="1"/>
        <v>3.565 hrs</v>
      </c>
      <c r="I22" s="21"/>
      <c r="J22" s="26" t="str">
        <f>ROUND((G23-F22)*24,3)&amp;" hrs"</f>
        <v>3.565 hrs</v>
      </c>
    </row>
    <row r="23" spans="1:10">
      <c r="A23" s="26"/>
      <c r="B23" s="21">
        <v>3</v>
      </c>
      <c r="C23" s="21" t="s">
        <v>49</v>
      </c>
      <c r="D23" s="21" t="s">
        <v>46</v>
      </c>
      <c r="E23" s="21"/>
      <c r="F23" s="39">
        <v>46206.528391203705</v>
      </c>
      <c r="G23" s="39">
        <v>46206.676921296297</v>
      </c>
      <c r="H23" s="21" t="str">
        <f t="shared" si="1"/>
        <v>3.565 hrs</v>
      </c>
      <c r="I23" s="21"/>
      <c r="J23" s="26"/>
    </row>
    <row r="24" spans="1:10">
      <c r="A24" s="21" t="s">
        <v>50</v>
      </c>
      <c r="B24" s="21">
        <v>4</v>
      </c>
      <c r="C24" s="21" t="s">
        <v>51</v>
      </c>
      <c r="D24" s="21" t="s">
        <v>52</v>
      </c>
      <c r="E24" s="35"/>
      <c r="F24" s="35"/>
      <c r="G24" s="35"/>
      <c r="H24" s="35"/>
      <c r="I24" s="35"/>
      <c r="J24" s="35"/>
    </row>
    <row r="25" spans="1:10">
      <c r="A25" s="21" t="s">
        <v>53</v>
      </c>
      <c r="B25" s="21">
        <v>5</v>
      </c>
      <c r="C25" s="21" t="s">
        <v>54</v>
      </c>
      <c r="D25" s="21" t="s">
        <v>55</v>
      </c>
      <c r="E25" s="21"/>
      <c r="F25" s="39">
        <v>46207.236111111109</v>
      </c>
      <c r="G25" s="39">
        <v>46207.833333333336</v>
      </c>
      <c r="H25" s="21" t="str">
        <f>ROUND((G25-F25)*24,3)&amp;" hrs"</f>
        <v>14.333 hrs</v>
      </c>
      <c r="I25" s="21"/>
      <c r="J25" s="21" t="str">
        <f>ROUND((G25-F25)*24,3)&amp;" hrs"</f>
        <v>14.333 hrs</v>
      </c>
    </row>
    <row r="26" spans="1:10">
      <c r="A26" s="26" t="s">
        <v>56</v>
      </c>
      <c r="B26" s="21">
        <v>6</v>
      </c>
      <c r="C26" s="21" t="s">
        <v>57</v>
      </c>
      <c r="D26" s="21" t="s">
        <v>55</v>
      </c>
      <c r="E26" s="21"/>
      <c r="F26" s="39">
        <v>46207.833333333336</v>
      </c>
      <c r="G26" s="39">
        <v>46208.333333333336</v>
      </c>
      <c r="H26" s="21" t="str">
        <f t="shared" ref="H26:H27" si="2">ROUND((G26-F26)*24,3)&amp;" hrs"</f>
        <v>12 hrs</v>
      </c>
      <c r="I26" s="21"/>
      <c r="J26" s="26" t="str">
        <f>ROUND((G27-F26)*24,3)&amp;" hrs"</f>
        <v>12 hrs</v>
      </c>
    </row>
    <row r="27" spans="1:10">
      <c r="A27" s="26"/>
      <c r="B27" s="21">
        <v>7</v>
      </c>
      <c r="C27" s="21" t="s">
        <v>58</v>
      </c>
      <c r="D27" s="21" t="s">
        <v>55</v>
      </c>
      <c r="E27" s="21"/>
      <c r="F27" s="39">
        <v>46208.333333333336</v>
      </c>
      <c r="G27" s="39">
        <v>46208.333333333336</v>
      </c>
      <c r="H27" s="21" t="str">
        <f t="shared" si="2"/>
        <v>0 hrs</v>
      </c>
      <c r="I27" s="21"/>
      <c r="J27" s="26"/>
    </row>
  </sheetData>
  <mergeCells count="26">
    <mergeCell ref="J19:J21"/>
    <mergeCell ref="A22:A23"/>
    <mergeCell ref="J22:J23"/>
    <mergeCell ref="A26:A27"/>
    <mergeCell ref="J26:J27"/>
    <mergeCell ref="B13:B14"/>
    <mergeCell ref="C13:C14"/>
    <mergeCell ref="D13:D14"/>
    <mergeCell ref="E13:E14"/>
    <mergeCell ref="A11:A12"/>
    <mergeCell ref="J11:J12"/>
    <mergeCell ref="A13:A15"/>
    <mergeCell ref="J13:J15"/>
    <mergeCell ref="A17:I17"/>
    <mergeCell ref="A19:A21"/>
    <mergeCell ref="B19:B21"/>
    <mergeCell ref="C19:C21"/>
    <mergeCell ref="D19:D21"/>
    <mergeCell ref="I19:I21"/>
    <mergeCell ref="A1:I1"/>
    <mergeCell ref="A3:A6"/>
    <mergeCell ref="J3:J6"/>
    <mergeCell ref="A7:A8"/>
    <mergeCell ref="J7:J8"/>
    <mergeCell ref="A9:A10"/>
    <mergeCell ref="J9:J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5B9E-189F-4060-ADC6-A73B06CF0678}">
  <dimension ref="A1:J28"/>
  <sheetViews>
    <sheetView tabSelected="1" workbookViewId="0">
      <selection activeCell="E3" sqref="E3:E13"/>
    </sheetView>
  </sheetViews>
  <sheetFormatPr defaultRowHeight="15"/>
  <cols>
    <col min="1" max="1" width="22" bestFit="1" customWidth="1"/>
    <col min="2" max="2" width="11.28515625" bestFit="1" customWidth="1"/>
    <col min="3" max="3" width="53.85546875" bestFit="1" customWidth="1"/>
    <col min="4" max="4" width="20.85546875" bestFit="1" customWidth="1"/>
    <col min="5" max="5" width="21" bestFit="1" customWidth="1"/>
    <col min="6" max="7" width="14.85546875" bestFit="1" customWidth="1"/>
    <col min="8" max="8" width="13" bestFit="1" customWidth="1"/>
    <col min="9" max="9" width="38.7109375" bestFit="1" customWidth="1"/>
    <col min="10" max="10" width="13.85546875" bestFit="1" customWidth="1"/>
  </cols>
  <sheetData>
    <row r="1" spans="1:10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14"/>
    </row>
    <row r="2" spans="1:10">
      <c r="A2" s="3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</row>
    <row r="3" spans="1:10">
      <c r="A3" s="26" t="s">
        <v>11</v>
      </c>
      <c r="B3" s="16" t="s">
        <v>12</v>
      </c>
      <c r="C3" s="16" t="s">
        <v>13</v>
      </c>
      <c r="D3" s="17" t="s">
        <v>14</v>
      </c>
      <c r="E3" s="40" t="s">
        <v>15</v>
      </c>
      <c r="F3" s="22">
        <v>46235.035509259258</v>
      </c>
      <c r="G3" s="22">
        <v>46235.035567129627</v>
      </c>
      <c r="H3" s="17" t="str">
        <f>ROUND((G3-F3)*24,3)&amp;" hrs"</f>
        <v>0.001 hrs</v>
      </c>
      <c r="I3" s="19"/>
      <c r="J3" s="24" t="str">
        <f>ROUND((G6-F3)*24,3)&amp;" hrs"</f>
        <v>0.005 hrs</v>
      </c>
    </row>
    <row r="4" spans="1:10">
      <c r="A4" s="26"/>
      <c r="B4" s="16" t="s">
        <v>12</v>
      </c>
      <c r="C4" s="16" t="s">
        <v>16</v>
      </c>
      <c r="D4" s="17" t="s">
        <v>14</v>
      </c>
      <c r="E4" s="40" t="s">
        <v>15</v>
      </c>
      <c r="F4" s="22">
        <v>46235.035567129627</v>
      </c>
      <c r="G4" s="22">
        <v>46235.035624999997</v>
      </c>
      <c r="H4" s="17" t="str">
        <f t="shared" ref="H4:H15" si="0">ROUND((G4-F4)*24,3)&amp;" hrs"</f>
        <v>0.001 hrs</v>
      </c>
      <c r="I4" s="19"/>
      <c r="J4" s="24"/>
    </row>
    <row r="5" spans="1:10">
      <c r="A5" s="26"/>
      <c r="B5" s="16" t="s">
        <v>12</v>
      </c>
      <c r="C5" s="16" t="s">
        <v>17</v>
      </c>
      <c r="D5" s="17" t="s">
        <v>14</v>
      </c>
      <c r="E5" s="40" t="s">
        <v>15</v>
      </c>
      <c r="F5" s="22">
        <v>46235.035624999997</v>
      </c>
      <c r="G5" s="22">
        <v>46235.035682870373</v>
      </c>
      <c r="H5" s="17" t="str">
        <f t="shared" si="0"/>
        <v>0.001 hrs</v>
      </c>
      <c r="I5" s="19"/>
      <c r="J5" s="24"/>
    </row>
    <row r="6" spans="1:10">
      <c r="A6" s="26"/>
      <c r="B6" s="16" t="s">
        <v>12</v>
      </c>
      <c r="C6" s="16" t="s">
        <v>18</v>
      </c>
      <c r="D6" s="17" t="s">
        <v>14</v>
      </c>
      <c r="E6" s="40" t="s">
        <v>15</v>
      </c>
      <c r="F6" s="22">
        <v>46235.035682870373</v>
      </c>
      <c r="G6" s="22">
        <v>46235.035729166666</v>
      </c>
      <c r="H6" s="17" t="str">
        <f t="shared" si="0"/>
        <v>0.001 hrs</v>
      </c>
      <c r="I6" s="19"/>
      <c r="J6" s="24"/>
    </row>
    <row r="7" spans="1:10">
      <c r="A7" s="26" t="s">
        <v>19</v>
      </c>
      <c r="B7" s="16" t="s">
        <v>12</v>
      </c>
      <c r="C7" s="16" t="s">
        <v>20</v>
      </c>
      <c r="D7" s="17" t="s">
        <v>14</v>
      </c>
      <c r="E7" s="42" t="s">
        <v>15</v>
      </c>
      <c r="F7" s="22">
        <v>46235.035729166666</v>
      </c>
      <c r="G7" s="22">
        <v>46235.157013888886</v>
      </c>
      <c r="H7" s="17" t="str">
        <f t="shared" si="0"/>
        <v>2.911 hrs</v>
      </c>
      <c r="I7" s="19"/>
      <c r="J7" s="24" t="str">
        <f>ROUND((G8-F7)*24,3)&amp;" hrs"</f>
        <v>3.338 hrs</v>
      </c>
    </row>
    <row r="8" spans="1:10">
      <c r="A8" s="26"/>
      <c r="B8" s="16" t="s">
        <v>12</v>
      </c>
      <c r="C8" s="16" t="s">
        <v>22</v>
      </c>
      <c r="D8" s="17" t="s">
        <v>14</v>
      </c>
      <c r="E8" s="42" t="s">
        <v>59</v>
      </c>
      <c r="F8" s="22">
        <v>46235.157013888886</v>
      </c>
      <c r="G8" s="22">
        <v>46235.174803240741</v>
      </c>
      <c r="H8" s="17" t="str">
        <f t="shared" si="0"/>
        <v>0.427 hrs</v>
      </c>
      <c r="I8" s="19"/>
      <c r="J8" s="24"/>
    </row>
    <row r="9" spans="1:10">
      <c r="A9" s="26" t="s">
        <v>23</v>
      </c>
      <c r="B9" s="16" t="s">
        <v>12</v>
      </c>
      <c r="C9" s="16" t="s">
        <v>24</v>
      </c>
      <c r="D9" s="17" t="s">
        <v>14</v>
      </c>
      <c r="E9" s="42" t="s">
        <v>15</v>
      </c>
      <c r="F9" s="22">
        <v>46235.174803240741</v>
      </c>
      <c r="G9" s="22">
        <v>46235.187430555554</v>
      </c>
      <c r="H9" s="17" t="str">
        <f t="shared" si="0"/>
        <v>0.303 hrs</v>
      </c>
      <c r="I9" s="19"/>
      <c r="J9" s="24" t="str">
        <f>ROUND((G10-F9)*24,3)&amp;" hrs"</f>
        <v>0.304 hrs</v>
      </c>
    </row>
    <row r="10" spans="1:10">
      <c r="A10" s="26"/>
      <c r="B10" s="16" t="s">
        <v>12</v>
      </c>
      <c r="C10" s="16" t="s">
        <v>26</v>
      </c>
      <c r="D10" s="17" t="s">
        <v>14</v>
      </c>
      <c r="E10" s="42" t="s">
        <v>15</v>
      </c>
      <c r="F10" s="22">
        <v>46235.187430555554</v>
      </c>
      <c r="G10" s="22">
        <v>46235.187476851854</v>
      </c>
      <c r="H10" s="17" t="str">
        <f t="shared" si="0"/>
        <v>0.001 hrs</v>
      </c>
      <c r="I10" s="19"/>
      <c r="J10" s="24"/>
    </row>
    <row r="11" spans="1:10">
      <c r="A11" s="26" t="s">
        <v>27</v>
      </c>
      <c r="B11" s="16" t="s">
        <v>12</v>
      </c>
      <c r="C11" s="16" t="s">
        <v>28</v>
      </c>
      <c r="D11" s="17" t="s">
        <v>14</v>
      </c>
      <c r="E11" s="42" t="s">
        <v>15</v>
      </c>
      <c r="F11" s="22">
        <v>46235.187476851854</v>
      </c>
      <c r="G11" s="22">
        <v>46235.190370370372</v>
      </c>
      <c r="H11" s="17" t="str">
        <f t="shared" si="0"/>
        <v>0.069 hrs</v>
      </c>
      <c r="I11" s="19"/>
      <c r="J11" s="24" t="str">
        <f>ROUND((G12-F11)*24,3)&amp;" hrs"</f>
        <v>2.525 hrs</v>
      </c>
    </row>
    <row r="12" spans="1:10">
      <c r="A12" s="26"/>
      <c r="B12" s="16" t="s">
        <v>12</v>
      </c>
      <c r="C12" s="16" t="s">
        <v>29</v>
      </c>
      <c r="D12" s="17" t="s">
        <v>14</v>
      </c>
      <c r="E12" s="42" t="s">
        <v>60</v>
      </c>
      <c r="F12" s="22">
        <v>46235.190370370372</v>
      </c>
      <c r="G12" s="22">
        <v>46235.292685185188</v>
      </c>
      <c r="H12" s="17" t="str">
        <f t="shared" si="0"/>
        <v>2.456 hrs</v>
      </c>
      <c r="I12" s="19"/>
      <c r="J12" s="24"/>
    </row>
    <row r="13" spans="1:10">
      <c r="A13" s="26" t="s">
        <v>31</v>
      </c>
      <c r="B13" s="16" t="s">
        <v>12</v>
      </c>
      <c r="C13" s="16" t="s">
        <v>32</v>
      </c>
      <c r="D13" s="16" t="s">
        <v>33</v>
      </c>
      <c r="E13" s="42" t="s">
        <v>61</v>
      </c>
      <c r="F13" s="22">
        <v>46235.292685185188</v>
      </c>
      <c r="G13" s="22">
        <v>46235.316921296297</v>
      </c>
      <c r="H13" s="17" t="str">
        <f t="shared" si="0"/>
        <v>0.582 hrs</v>
      </c>
      <c r="I13" s="19"/>
      <c r="J13" s="24" t="str">
        <f>ROUND((G14-F13)*24,3)&amp;" hrs"</f>
        <v>1.262 hrs</v>
      </c>
    </row>
    <row r="14" spans="1:10">
      <c r="A14" s="26"/>
      <c r="B14" s="16" t="s">
        <v>12</v>
      </c>
      <c r="C14" s="16" t="s">
        <v>35</v>
      </c>
      <c r="D14" s="16" t="s">
        <v>36</v>
      </c>
      <c r="E14" s="18" t="s">
        <v>15</v>
      </c>
      <c r="F14" s="22">
        <v>46235.316921296297</v>
      </c>
      <c r="G14" s="22">
        <v>46235.345277777778</v>
      </c>
      <c r="H14" s="17" t="str">
        <f t="shared" si="0"/>
        <v>0.681 hrs</v>
      </c>
      <c r="I14" s="19"/>
      <c r="J14" s="24"/>
    </row>
    <row r="15" spans="1:10">
      <c r="A15" s="19" t="s">
        <v>37</v>
      </c>
      <c r="B15" s="16" t="s">
        <v>12</v>
      </c>
      <c r="C15" s="16" t="s">
        <v>38</v>
      </c>
      <c r="D15" s="16" t="s">
        <v>39</v>
      </c>
      <c r="E15" s="16"/>
      <c r="F15" s="22">
        <v>46235.479861111111</v>
      </c>
      <c r="G15" s="22">
        <v>46236.481944444444</v>
      </c>
      <c r="H15" s="17" t="str">
        <f>ROUND((G15-F15)*24,3)&amp;" hrs"</f>
        <v>24.05 hrs</v>
      </c>
      <c r="I15" s="19"/>
      <c r="J15" s="4" t="str">
        <f>ROUND((G15-F15)*24,3)&amp;" hrs"</f>
        <v>24.05 hrs</v>
      </c>
    </row>
    <row r="16" spans="1:10">
      <c r="A16" s="29" t="s">
        <v>40</v>
      </c>
      <c r="B16" s="29"/>
      <c r="C16" s="29"/>
      <c r="D16" s="29"/>
      <c r="E16" s="29"/>
      <c r="F16" s="29"/>
      <c r="G16" s="29"/>
      <c r="H16" s="29"/>
      <c r="I16" s="29"/>
      <c r="J16" s="14"/>
    </row>
    <row r="17" spans="1:10">
      <c r="A17" s="3" t="s">
        <v>1</v>
      </c>
      <c r="B17" s="15" t="s">
        <v>41</v>
      </c>
      <c r="C17" s="15" t="s">
        <v>42</v>
      </c>
      <c r="D17" s="15" t="s">
        <v>4</v>
      </c>
      <c r="E17" s="15" t="s">
        <v>43</v>
      </c>
      <c r="F17" s="15" t="s">
        <v>6</v>
      </c>
      <c r="G17" s="15" t="s">
        <v>7</v>
      </c>
      <c r="H17" s="15" t="s">
        <v>44</v>
      </c>
      <c r="I17" s="15" t="s">
        <v>9</v>
      </c>
      <c r="J17" s="15" t="s">
        <v>10</v>
      </c>
    </row>
    <row r="18" spans="1:10">
      <c r="A18" s="26" t="s">
        <v>45</v>
      </c>
      <c r="B18" s="26">
        <v>1</v>
      </c>
      <c r="C18" s="31" t="s">
        <v>45</v>
      </c>
      <c r="D18" s="26" t="s">
        <v>46</v>
      </c>
      <c r="E18" s="16"/>
      <c r="F18" s="10">
        <v>46236.393750000003</v>
      </c>
      <c r="G18" s="10">
        <v>46236.768541666665</v>
      </c>
      <c r="H18" s="16" t="str">
        <f>ROUND((G18-F18)*24,3)&amp;" hrs"</f>
        <v>8.995 hrs</v>
      </c>
      <c r="I18" s="30" t="str" cm="1">
        <f t="array" ref="I18">TEXT(SUMPRODUCT(VALUE(SUBSTITUTE(H18:H22," hrs",""))),"0.000")&amp;" hrs"</f>
        <v>25.817 hrs</v>
      </c>
      <c r="J18" s="30" t="str">
        <f>ROUND((G22-F18)*24,3)&amp;" hrs"</f>
        <v>25.817 hrs</v>
      </c>
    </row>
    <row r="19" spans="1:10">
      <c r="A19" s="26"/>
      <c r="B19" s="26"/>
      <c r="C19" s="26"/>
      <c r="D19" s="26"/>
      <c r="E19" s="16"/>
      <c r="F19" s="10">
        <v>46236.768541666665</v>
      </c>
      <c r="G19" s="10">
        <v>46236.91846064815</v>
      </c>
      <c r="H19" s="16" t="str">
        <f t="shared" ref="H19:H24" si="1">ROUND((G19-F19)*24,3)&amp;" hrs"</f>
        <v>3.598 hrs</v>
      </c>
      <c r="I19" s="30"/>
      <c r="J19" s="30"/>
    </row>
    <row r="20" spans="1:10">
      <c r="A20" s="26"/>
      <c r="B20" s="26"/>
      <c r="C20" s="26"/>
      <c r="D20" s="26"/>
      <c r="E20" s="16"/>
      <c r="F20" s="10">
        <v>46236.91846064815</v>
      </c>
      <c r="G20" s="10">
        <v>46237.173136574071</v>
      </c>
      <c r="H20" s="16" t="str">
        <f t="shared" si="1"/>
        <v>6.112 hrs</v>
      </c>
      <c r="I20" s="30"/>
      <c r="J20" s="30"/>
    </row>
    <row r="21" spans="1:10">
      <c r="A21" s="26"/>
      <c r="B21" s="26"/>
      <c r="C21" s="26"/>
      <c r="D21" s="26"/>
      <c r="E21" s="16"/>
      <c r="F21" s="10">
        <v>46237.173136574071</v>
      </c>
      <c r="G21" s="10">
        <v>46237.353043981479</v>
      </c>
      <c r="H21" s="16" t="str">
        <f t="shared" si="1"/>
        <v>4.318 hrs</v>
      </c>
      <c r="I21" s="30"/>
      <c r="J21" s="30"/>
    </row>
    <row r="22" spans="1:10">
      <c r="A22" s="26"/>
      <c r="B22" s="26"/>
      <c r="C22" s="26"/>
      <c r="D22" s="26"/>
      <c r="E22" s="16"/>
      <c r="F22" s="10">
        <v>46237.353043981479</v>
      </c>
      <c r="G22" s="10">
        <v>46237.469467592593</v>
      </c>
      <c r="H22" s="16" t="str">
        <f t="shared" si="1"/>
        <v>2.794 hrs</v>
      </c>
      <c r="I22" s="30"/>
      <c r="J22" s="30"/>
    </row>
    <row r="23" spans="1:10">
      <c r="A23" s="26" t="s">
        <v>47</v>
      </c>
      <c r="B23" s="21">
        <v>2</v>
      </c>
      <c r="C23" s="16" t="s">
        <v>48</v>
      </c>
      <c r="D23" s="16" t="s">
        <v>46</v>
      </c>
      <c r="E23" s="16"/>
      <c r="F23" s="20">
        <v>46268.508333333331</v>
      </c>
      <c r="G23" s="20">
        <v>46268.527777777781</v>
      </c>
      <c r="H23" s="16" t="str">
        <f t="shared" si="1"/>
        <v>0.467 hrs</v>
      </c>
      <c r="I23" s="16"/>
      <c r="J23" s="26" t="str">
        <f>ROUND((G24-F23)*24,3)&amp;" hrs"</f>
        <v>4.133 hrs</v>
      </c>
    </row>
    <row r="24" spans="1:10">
      <c r="A24" s="26"/>
      <c r="B24" s="21">
        <v>3</v>
      </c>
      <c r="C24" s="16" t="s">
        <v>49</v>
      </c>
      <c r="D24" s="16" t="s">
        <v>46</v>
      </c>
      <c r="E24" s="16"/>
      <c r="F24" s="20">
        <v>46268.527777777781</v>
      </c>
      <c r="G24" s="20">
        <v>46268.680555555555</v>
      </c>
      <c r="H24" s="16" t="str">
        <f t="shared" si="1"/>
        <v>3.667 hrs</v>
      </c>
      <c r="I24" s="16"/>
      <c r="J24" s="26"/>
    </row>
    <row r="25" spans="1:10">
      <c r="A25" s="16" t="s">
        <v>50</v>
      </c>
      <c r="B25" s="21">
        <v>4</v>
      </c>
      <c r="C25" s="16" t="s">
        <v>51</v>
      </c>
      <c r="D25" s="16" t="s">
        <v>52</v>
      </c>
      <c r="E25" s="15"/>
      <c r="F25" s="15"/>
      <c r="G25" s="15"/>
      <c r="H25" s="15"/>
      <c r="I25" s="15"/>
      <c r="J25" s="15"/>
    </row>
    <row r="26" spans="1:10">
      <c r="A26" s="16" t="s">
        <v>53</v>
      </c>
      <c r="B26" s="21">
        <v>5</v>
      </c>
      <c r="C26" s="16" t="s">
        <v>54</v>
      </c>
      <c r="D26" s="16" t="s">
        <v>55</v>
      </c>
      <c r="E26" s="16"/>
      <c r="F26" s="20">
        <v>46268.486111111109</v>
      </c>
      <c r="G26" s="20">
        <v>46269.0625</v>
      </c>
      <c r="H26" s="16" t="str">
        <f>ROUND((G26-F26)*24,3)&amp;" hrs"</f>
        <v>13.833 hrs</v>
      </c>
      <c r="I26" s="16"/>
      <c r="J26" s="16" t="str">
        <f>ROUND((G26-F26)*24,3)&amp;" hrs"</f>
        <v>13.833 hrs</v>
      </c>
    </row>
    <row r="27" spans="1:10">
      <c r="A27" s="26" t="s">
        <v>56</v>
      </c>
      <c r="B27" s="21">
        <v>6</v>
      </c>
      <c r="C27" s="16" t="s">
        <v>57</v>
      </c>
      <c r="D27" s="16" t="s">
        <v>55</v>
      </c>
      <c r="E27" s="16"/>
      <c r="F27" s="20">
        <v>46269.0625</v>
      </c>
      <c r="G27" s="20">
        <v>46269.359027777777</v>
      </c>
      <c r="H27" s="16" t="str">
        <f t="shared" ref="H27:H28" si="2">ROUND((G27-F27)*24,3)&amp;" hrs"</f>
        <v>7.117 hrs</v>
      </c>
      <c r="I27" s="16"/>
      <c r="J27" s="26" t="str">
        <f>ROUND((G28-F27)*24,3)&amp;" hrs"</f>
        <v>66.3 hrs</v>
      </c>
    </row>
    <row r="28" spans="1:10">
      <c r="A28" s="26"/>
      <c r="B28" s="21">
        <v>7</v>
      </c>
      <c r="C28" s="16" t="s">
        <v>58</v>
      </c>
      <c r="D28" s="16" t="s">
        <v>55</v>
      </c>
      <c r="E28" s="16"/>
      <c r="F28" s="20">
        <v>46271.486111111109</v>
      </c>
      <c r="G28" s="20">
        <v>46271.824999999997</v>
      </c>
      <c r="H28" s="16" t="str">
        <f t="shared" si="2"/>
        <v>8.133 hrs</v>
      </c>
      <c r="I28" s="16"/>
      <c r="J28" s="26"/>
    </row>
  </sheetData>
  <mergeCells count="22">
    <mergeCell ref="J18:J22"/>
    <mergeCell ref="A23:A24"/>
    <mergeCell ref="J23:J24"/>
    <mergeCell ref="A27:A28"/>
    <mergeCell ref="J27:J28"/>
    <mergeCell ref="A18:A22"/>
    <mergeCell ref="B18:B22"/>
    <mergeCell ref="C18:C22"/>
    <mergeCell ref="D18:D22"/>
    <mergeCell ref="I18:I22"/>
    <mergeCell ref="A11:A12"/>
    <mergeCell ref="J11:J12"/>
    <mergeCell ref="A13:A14"/>
    <mergeCell ref="J13:J14"/>
    <mergeCell ref="A16:I16"/>
    <mergeCell ref="A9:A10"/>
    <mergeCell ref="J9:J10"/>
    <mergeCell ref="A1:I1"/>
    <mergeCell ref="A3:A6"/>
    <mergeCell ref="J3:J6"/>
    <mergeCell ref="A7:A8"/>
    <mergeCell ref="J7:J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51F9-2A60-42B8-B1C0-E28CC19D4CDD}">
  <dimension ref="A1:J31"/>
  <sheetViews>
    <sheetView zoomScale="85" zoomScaleNormal="85" workbookViewId="0">
      <selection activeCell="C33" sqref="C33"/>
    </sheetView>
  </sheetViews>
  <sheetFormatPr defaultColWidth="8.85546875" defaultRowHeight="14.45"/>
  <cols>
    <col min="1" max="1" width="34.5703125" style="1" bestFit="1" customWidth="1"/>
    <col min="2" max="2" width="10.28515625" style="1" bestFit="1" customWidth="1"/>
    <col min="3" max="3" width="57.7109375" style="1" bestFit="1" customWidth="1"/>
    <col min="4" max="4" width="20.85546875" style="1" bestFit="1" customWidth="1"/>
    <col min="5" max="5" width="21" style="1" bestFit="1" customWidth="1"/>
    <col min="6" max="7" width="14.42578125" style="1" bestFit="1" customWidth="1"/>
    <col min="8" max="8" width="13" style="1" bestFit="1" customWidth="1"/>
    <col min="9" max="9" width="35.7109375" style="1" bestFit="1" customWidth="1"/>
    <col min="10" max="10" width="18" style="1" bestFit="1" customWidth="1"/>
    <col min="11" max="16384" width="8.85546875" style="1"/>
  </cols>
  <sheetData>
    <row r="1" spans="1:10" ht="15">
      <c r="A1" s="25" t="str" cm="1">
        <f t="array" ref="A1">TEXT(SUMPRODUCT(VALUE(SUBSTITUTE(H13:H14," hrs",""))),"0.000")&amp;" hrs"</f>
        <v>1.421 hrs</v>
      </c>
      <c r="B1" s="25"/>
      <c r="C1" s="25"/>
      <c r="D1" s="25"/>
      <c r="E1" s="25"/>
      <c r="F1" s="25"/>
      <c r="G1" s="25"/>
      <c r="H1" s="25"/>
      <c r="I1" s="25"/>
      <c r="J1" s="2"/>
    </row>
    <row r="2" spans="1:10" ht="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15">
      <c r="A3" s="24" t="s">
        <v>11</v>
      </c>
      <c r="B3" s="1" t="s">
        <v>12</v>
      </c>
      <c r="C3" s="1" t="s">
        <v>13</v>
      </c>
      <c r="D3" s="4" t="s">
        <v>14</v>
      </c>
      <c r="E3" s="7" t="s">
        <v>15</v>
      </c>
      <c r="F3" s="9">
        <v>46266.020949074074</v>
      </c>
      <c r="G3" s="9">
        <v>46266.020995370367</v>
      </c>
      <c r="H3" s="4" t="str">
        <f>ROUND((G3-F3)*24,3)&amp;" hrs"</f>
        <v>0.001 hrs</v>
      </c>
      <c r="I3" s="13"/>
      <c r="J3" s="24" t="str">
        <f>ROUND((G6-F3)*24,3)&amp;" hrs"</f>
        <v>0.006 hrs</v>
      </c>
    </row>
    <row r="4" spans="1:10" ht="15">
      <c r="A4" s="24"/>
      <c r="B4" s="1" t="s">
        <v>12</v>
      </c>
      <c r="C4" s="1" t="s">
        <v>16</v>
      </c>
      <c r="D4" s="4" t="s">
        <v>14</v>
      </c>
      <c r="E4" s="7" t="s">
        <v>15</v>
      </c>
      <c r="F4" s="9">
        <v>46266.020995370367</v>
      </c>
      <c r="G4" s="9">
        <v>46266.021053240744</v>
      </c>
      <c r="H4" s="4" t="str">
        <f t="shared" ref="H4:J15" si="0">ROUND((G4-F4)*24,3)&amp;" hrs"</f>
        <v>0.001 hrs</v>
      </c>
      <c r="I4" s="13"/>
      <c r="J4" s="24"/>
    </row>
    <row r="5" spans="1:10" ht="15">
      <c r="A5" s="24"/>
      <c r="B5" s="1" t="s">
        <v>12</v>
      </c>
      <c r="C5" s="1" t="s">
        <v>17</v>
      </c>
      <c r="D5" s="4" t="s">
        <v>14</v>
      </c>
      <c r="E5" s="7" t="s">
        <v>15</v>
      </c>
      <c r="F5" s="9">
        <v>46266.021053240744</v>
      </c>
      <c r="G5" s="9">
        <v>46266.021111111113</v>
      </c>
      <c r="H5" s="4" t="str">
        <f t="shared" si="0"/>
        <v>0.001 hrs</v>
      </c>
      <c r="I5" s="13"/>
      <c r="J5" s="24"/>
    </row>
    <row r="6" spans="1:10" ht="15">
      <c r="A6" s="24"/>
      <c r="B6" s="1" t="s">
        <v>12</v>
      </c>
      <c r="C6" s="1" t="s">
        <v>18</v>
      </c>
      <c r="D6" s="4" t="s">
        <v>14</v>
      </c>
      <c r="E6" s="7" t="s">
        <v>15</v>
      </c>
      <c r="F6" s="9">
        <v>46266.021111111113</v>
      </c>
      <c r="G6" s="9">
        <v>46266.021192129629</v>
      </c>
      <c r="H6" s="4" t="str">
        <f t="shared" si="0"/>
        <v>0.002 hrs</v>
      </c>
      <c r="I6" s="13"/>
      <c r="J6" s="24"/>
    </row>
    <row r="7" spans="1:10" ht="15">
      <c r="A7" s="24" t="s">
        <v>19</v>
      </c>
      <c r="B7" s="1" t="s">
        <v>12</v>
      </c>
      <c r="C7" s="1" t="s">
        <v>20</v>
      </c>
      <c r="D7" s="4" t="s">
        <v>14</v>
      </c>
      <c r="E7" s="8" t="s">
        <v>62</v>
      </c>
      <c r="F7" s="9">
        <v>46266.021192129629</v>
      </c>
      <c r="G7" s="9">
        <v>46266.187662037039</v>
      </c>
      <c r="H7" s="4" t="str">
        <f t="shared" si="0"/>
        <v>3.995 hrs</v>
      </c>
      <c r="I7" s="13"/>
      <c r="J7" s="24" t="str">
        <f>ROUND((G8-F7)*24,3)&amp;" hrs"</f>
        <v>4.414 hrs</v>
      </c>
    </row>
    <row r="8" spans="1:10" ht="15">
      <c r="A8" s="24"/>
      <c r="B8" s="1" t="s">
        <v>12</v>
      </c>
      <c r="C8" s="1" t="s">
        <v>22</v>
      </c>
      <c r="D8" s="4" t="s">
        <v>14</v>
      </c>
      <c r="E8" s="7" t="s">
        <v>15</v>
      </c>
      <c r="F8" s="9">
        <v>46266.187662037039</v>
      </c>
      <c r="G8" s="10">
        <v>46266.205127314817</v>
      </c>
      <c r="H8" s="4" t="str">
        <f t="shared" si="0"/>
        <v>0.419 hrs</v>
      </c>
      <c r="I8" s="13"/>
      <c r="J8" s="24"/>
    </row>
    <row r="9" spans="1:10" ht="15">
      <c r="A9" s="24" t="s">
        <v>23</v>
      </c>
      <c r="B9" s="1" t="s">
        <v>12</v>
      </c>
      <c r="C9" s="1" t="s">
        <v>24</v>
      </c>
      <c r="D9" s="4" t="s">
        <v>14</v>
      </c>
      <c r="E9" s="8" t="s">
        <v>62</v>
      </c>
      <c r="F9" s="10">
        <v>46266.205127314817</v>
      </c>
      <c r="G9" s="10">
        <v>46266.252118055556</v>
      </c>
      <c r="H9" s="4" t="str">
        <f t="shared" si="0"/>
        <v>1.128 hrs</v>
      </c>
      <c r="I9" s="13"/>
      <c r="J9" s="24" t="str">
        <f>ROUND((G10-F9)*24,3)&amp;" hrs"</f>
        <v>1.129 hrs</v>
      </c>
    </row>
    <row r="10" spans="1:10" ht="15">
      <c r="A10" s="24"/>
      <c r="B10" s="1" t="s">
        <v>12</v>
      </c>
      <c r="C10" s="1" t="s">
        <v>26</v>
      </c>
      <c r="D10" s="4" t="s">
        <v>14</v>
      </c>
      <c r="E10" s="7" t="s">
        <v>15</v>
      </c>
      <c r="F10" s="10">
        <v>46266.252118055556</v>
      </c>
      <c r="G10" s="11">
        <v>46266.252164351848</v>
      </c>
      <c r="H10" s="4" t="str">
        <f t="shared" si="0"/>
        <v>0.001 hrs</v>
      </c>
      <c r="I10" s="13"/>
      <c r="J10" s="24"/>
    </row>
    <row r="11" spans="1:10" ht="15">
      <c r="A11" s="24" t="s">
        <v>27</v>
      </c>
      <c r="B11" s="1" t="s">
        <v>12</v>
      </c>
      <c r="C11" s="1" t="s">
        <v>28</v>
      </c>
      <c r="D11" s="4" t="s">
        <v>14</v>
      </c>
      <c r="E11" s="7" t="s">
        <v>15</v>
      </c>
      <c r="F11" s="10">
        <v>46266.252164351848</v>
      </c>
      <c r="G11" s="10">
        <v>46266.254421296297</v>
      </c>
      <c r="H11" s="4" t="str">
        <f t="shared" si="0"/>
        <v>0.054 hrs</v>
      </c>
      <c r="I11" s="13"/>
      <c r="J11" s="24" t="str">
        <f>ROUND((G12-F11)*24,3)&amp;" hrs"</f>
        <v>2.491 hrs</v>
      </c>
    </row>
    <row r="12" spans="1:10" ht="15">
      <c r="A12" s="24"/>
      <c r="B12" s="1" t="s">
        <v>12</v>
      </c>
      <c r="C12" s="1" t="s">
        <v>29</v>
      </c>
      <c r="D12" s="4" t="s">
        <v>14</v>
      </c>
      <c r="E12" s="8" t="s">
        <v>63</v>
      </c>
      <c r="F12" s="10">
        <v>46266.254421296297</v>
      </c>
      <c r="G12" s="10">
        <v>46266.355949074074</v>
      </c>
      <c r="H12" s="4" t="str">
        <f t="shared" si="0"/>
        <v>2.437 hrs</v>
      </c>
      <c r="I12" s="13"/>
      <c r="J12" s="24"/>
    </row>
    <row r="13" spans="1:10" ht="15">
      <c r="A13" s="24" t="s">
        <v>31</v>
      </c>
      <c r="B13" s="1" t="s">
        <v>12</v>
      </c>
      <c r="C13" s="1" t="s">
        <v>32</v>
      </c>
      <c r="D13" s="1" t="s">
        <v>33</v>
      </c>
      <c r="E13" s="8" t="s">
        <v>64</v>
      </c>
      <c r="F13" s="10">
        <v>46266.355949074074</v>
      </c>
      <c r="G13" s="10">
        <v>46266.373159722221</v>
      </c>
      <c r="H13" s="4" t="str">
        <f t="shared" si="0"/>
        <v>0.413 hrs</v>
      </c>
      <c r="I13" s="13"/>
      <c r="J13" s="24" t="str">
        <f>ROUND((G14-F13)*24,3)&amp;" hrs"</f>
        <v>1.421 hrs</v>
      </c>
    </row>
    <row r="14" spans="1:10" ht="15">
      <c r="A14" s="24"/>
      <c r="B14" s="1" t="s">
        <v>12</v>
      </c>
      <c r="C14" s="1" t="s">
        <v>35</v>
      </c>
      <c r="D14" s="1" t="s">
        <v>36</v>
      </c>
      <c r="E14" s="7" t="s">
        <v>15</v>
      </c>
      <c r="F14" s="10">
        <v>46266.373159722221</v>
      </c>
      <c r="G14" s="10">
        <v>46266.415162037039</v>
      </c>
      <c r="H14" s="4" t="str">
        <f t="shared" si="0"/>
        <v>1.008 hrs</v>
      </c>
      <c r="I14" s="13"/>
      <c r="J14" s="24"/>
    </row>
    <row r="15" spans="1:10" ht="15">
      <c r="A15" s="13" t="s">
        <v>37</v>
      </c>
      <c r="B15" s="1" t="s">
        <v>12</v>
      </c>
      <c r="C15" s="1" t="s">
        <v>38</v>
      </c>
      <c r="D15" s="1" t="s">
        <v>39</v>
      </c>
      <c r="F15" s="10">
        <v>46266.470138888886</v>
      </c>
      <c r="G15" s="10">
        <v>46267.347222222219</v>
      </c>
      <c r="H15" s="4" t="str">
        <f>ROUND((G15-F15)*24,3)&amp;" hrs"</f>
        <v>21.05 hrs</v>
      </c>
      <c r="I15" s="13"/>
      <c r="J15" s="4" t="str">
        <f>ROUND((G15-F15)*24,3)&amp;" hrs"</f>
        <v>21.05 hrs</v>
      </c>
    </row>
    <row r="16" spans="1:10" ht="15">
      <c r="A16" s="25" t="s">
        <v>40</v>
      </c>
      <c r="B16" s="25"/>
      <c r="C16" s="25"/>
      <c r="D16" s="25"/>
      <c r="E16" s="25"/>
      <c r="F16" s="25"/>
      <c r="G16" s="25"/>
      <c r="H16" s="25"/>
      <c r="I16" s="25"/>
      <c r="J16" s="2"/>
    </row>
    <row r="17" spans="1:10" ht="15">
      <c r="A17" s="3" t="s">
        <v>1</v>
      </c>
      <c r="B17" s="3" t="s">
        <v>41</v>
      </c>
      <c r="C17" s="3" t="s">
        <v>42</v>
      </c>
      <c r="D17" s="3" t="s">
        <v>4</v>
      </c>
      <c r="E17" s="3" t="s">
        <v>43</v>
      </c>
      <c r="F17" s="3" t="s">
        <v>6</v>
      </c>
      <c r="G17" s="3" t="s">
        <v>7</v>
      </c>
      <c r="H17" s="3" t="s">
        <v>44</v>
      </c>
      <c r="I17" s="3" t="s">
        <v>9</v>
      </c>
      <c r="J17" s="3" t="s">
        <v>10</v>
      </c>
    </row>
    <row r="18" spans="1:10" ht="14.45" customHeight="1">
      <c r="A18" s="24" t="s">
        <v>45</v>
      </c>
      <c r="B18" s="24">
        <v>1</v>
      </c>
      <c r="C18" s="28" t="s">
        <v>45</v>
      </c>
      <c r="D18" s="24" t="s">
        <v>46</v>
      </c>
      <c r="F18" s="12">
        <v>46267.446134259262</v>
      </c>
      <c r="G18" s="12">
        <v>46267.585069444445</v>
      </c>
      <c r="H18" s="1" t="str">
        <f>ROUND((G18-F18)*24,3)&amp;" hrs"</f>
        <v>3.334 hrs</v>
      </c>
      <c r="I18" s="27" t="str" cm="1">
        <f t="array" ref="I18">TEXT(SUMPRODUCT(VALUE(SUBSTITUTE(H18:H24," hrs",""))),"0.000")&amp;" hrs"</f>
        <v>23.732 hrs</v>
      </c>
      <c r="J18" s="24" t="str">
        <f>ROUND((G24-F18)*24,3)&amp;" hrs"</f>
        <v>23.732 hrs</v>
      </c>
    </row>
    <row r="19" spans="1:10" ht="14.45" customHeight="1">
      <c r="A19" s="24"/>
      <c r="B19" s="24"/>
      <c r="C19" s="24"/>
      <c r="D19" s="24"/>
      <c r="F19" s="12">
        <v>46267.585069444445</v>
      </c>
      <c r="G19" s="12">
        <v>46267.706875000003</v>
      </c>
      <c r="H19" s="1" t="str">
        <f t="shared" ref="H19:H24" si="1">ROUND((G19-F19)*24,3)&amp;" hrs"</f>
        <v>2.923 hrs</v>
      </c>
      <c r="I19" s="27"/>
      <c r="J19" s="24"/>
    </row>
    <row r="20" spans="1:10" ht="15">
      <c r="A20" s="24"/>
      <c r="B20" s="24"/>
      <c r="C20" s="24"/>
      <c r="D20" s="24"/>
      <c r="F20" s="12">
        <v>46267.706875000003</v>
      </c>
      <c r="G20" s="12">
        <v>46267.826736111114</v>
      </c>
      <c r="H20" s="1" t="str">
        <f t="shared" si="1"/>
        <v>2.877 hrs</v>
      </c>
      <c r="I20" s="27"/>
      <c r="J20" s="24"/>
    </row>
    <row r="21" spans="1:10" ht="15">
      <c r="A21" s="24"/>
      <c r="B21" s="24"/>
      <c r="C21" s="24"/>
      <c r="D21" s="24"/>
      <c r="F21" s="12">
        <v>46267.826736111114</v>
      </c>
      <c r="G21" s="12">
        <v>46267.892175925925</v>
      </c>
      <c r="H21" s="1" t="str">
        <f t="shared" si="1"/>
        <v>1.571 hrs</v>
      </c>
      <c r="I21" s="27"/>
      <c r="J21" s="24"/>
    </row>
    <row r="22" spans="1:10" ht="15">
      <c r="A22" s="24"/>
      <c r="B22" s="24"/>
      <c r="C22" s="24"/>
      <c r="D22" s="24"/>
      <c r="F22" s="12">
        <v>46267.892175925925</v>
      </c>
      <c r="G22" s="12">
        <v>46268.101261574076</v>
      </c>
      <c r="H22" s="1" t="str">
        <f t="shared" si="1"/>
        <v>5.018 hrs</v>
      </c>
      <c r="I22" s="27"/>
      <c r="J22" s="24"/>
    </row>
    <row r="23" spans="1:10" ht="14.45" customHeight="1">
      <c r="A23" s="24"/>
      <c r="B23" s="24"/>
      <c r="C23" s="24"/>
      <c r="D23" s="24"/>
      <c r="F23" s="12">
        <v>46268.101261574076</v>
      </c>
      <c r="G23" s="12">
        <v>46268.282754629632</v>
      </c>
      <c r="H23" s="1" t="str">
        <f t="shared" si="1"/>
        <v>4.356 hrs</v>
      </c>
      <c r="I23" s="27"/>
      <c r="J23" s="24"/>
    </row>
    <row r="24" spans="1:10" ht="14.45" customHeight="1">
      <c r="A24" s="24"/>
      <c r="B24" s="24"/>
      <c r="C24" s="24"/>
      <c r="D24" s="24"/>
      <c r="F24" s="12">
        <v>46268.282754629632</v>
      </c>
      <c r="G24" s="12">
        <v>46268.434953703705</v>
      </c>
      <c r="H24" s="1" t="str">
        <f t="shared" si="1"/>
        <v>3.653 hrs</v>
      </c>
      <c r="I24" s="27"/>
      <c r="J24" s="24"/>
    </row>
    <row r="25" spans="1:10" ht="15">
      <c r="A25" s="24" t="s">
        <v>47</v>
      </c>
      <c r="B25" s="6">
        <v>2</v>
      </c>
      <c r="C25" s="1" t="s">
        <v>48</v>
      </c>
      <c r="D25" s="1" t="s">
        <v>46</v>
      </c>
      <c r="F25" s="5">
        <v>46268.508333333331</v>
      </c>
      <c r="G25" s="5">
        <v>46268.527777777781</v>
      </c>
      <c r="H25" s="1" t="str">
        <f t="shared" ref="H19:J30" si="2">ROUND((G25-F25)*24,3)&amp;" hrs"</f>
        <v>0.467 hrs</v>
      </c>
      <c r="J25" s="24" t="str">
        <f>ROUND((G26-F25)*24,3)&amp;" hrs"</f>
        <v>4.133 hrs</v>
      </c>
    </row>
    <row r="26" spans="1:10" ht="14.45" customHeight="1">
      <c r="A26" s="24"/>
      <c r="B26" s="6">
        <v>3</v>
      </c>
      <c r="C26" s="1" t="s">
        <v>49</v>
      </c>
      <c r="D26" s="1" t="s">
        <v>46</v>
      </c>
      <c r="F26" s="5">
        <v>46268.527777777781</v>
      </c>
      <c r="G26" s="5">
        <v>46268.680555555555</v>
      </c>
      <c r="H26" s="1" t="str">
        <f t="shared" si="2"/>
        <v>3.667 hrs</v>
      </c>
      <c r="J26" s="24"/>
    </row>
    <row r="27" spans="1:10" ht="15">
      <c r="A27" s="1" t="s">
        <v>50</v>
      </c>
      <c r="B27" s="6">
        <v>4</v>
      </c>
      <c r="C27" s="1" t="s">
        <v>51</v>
      </c>
      <c r="D27" s="1" t="s">
        <v>52</v>
      </c>
      <c r="E27" s="3"/>
      <c r="F27" s="3"/>
      <c r="G27" s="3"/>
      <c r="H27" s="3"/>
      <c r="I27" s="3"/>
      <c r="J27" s="3"/>
    </row>
    <row r="28" spans="1:10" ht="15">
      <c r="A28" s="1" t="s">
        <v>53</v>
      </c>
      <c r="B28" s="6">
        <v>5</v>
      </c>
      <c r="C28" s="1" t="s">
        <v>54</v>
      </c>
      <c r="D28" s="1" t="s">
        <v>55</v>
      </c>
      <c r="F28" s="12">
        <v>46268.486111111109</v>
      </c>
      <c r="G28" s="12">
        <v>46269.0625</v>
      </c>
      <c r="H28" s="1" t="str">
        <f>ROUND((G28-F28)*24,3)&amp;" hrs"</f>
        <v>13.833 hrs</v>
      </c>
      <c r="J28" s="1" t="str">
        <f>ROUND((G28-F28)*24,3)&amp;" hrs"</f>
        <v>13.833 hrs</v>
      </c>
    </row>
    <row r="29" spans="1:10" ht="14.45" customHeight="1">
      <c r="A29" s="26" t="s">
        <v>56</v>
      </c>
      <c r="B29" s="6">
        <v>6</v>
      </c>
      <c r="C29" s="1" t="s">
        <v>57</v>
      </c>
      <c r="D29" s="1" t="s">
        <v>55</v>
      </c>
      <c r="F29" s="12">
        <v>46269.0625</v>
      </c>
      <c r="G29" s="12">
        <v>46269.359027777777</v>
      </c>
      <c r="H29" s="1" t="str">
        <f>ROUND((G24-F18)*24,3)&amp;" hrs"</f>
        <v>23.732 hrs</v>
      </c>
      <c r="J29" s="24" t="str" cm="1">
        <f t="array" ref="J29">TEXT(SUMPRODUCT(VALUE(SUBSTITUTE(H29:H30," hrs",""))),"0.000")&amp;" hrs"</f>
        <v>31.865 hrs</v>
      </c>
    </row>
    <row r="30" spans="1:10" ht="14.45" customHeight="1">
      <c r="A30" s="26"/>
      <c r="B30" s="6">
        <v>7</v>
      </c>
      <c r="C30" s="1" t="s">
        <v>58</v>
      </c>
      <c r="D30" s="1" t="s">
        <v>55</v>
      </c>
      <c r="F30" s="5">
        <v>46271.486111111109</v>
      </c>
      <c r="G30" s="5">
        <v>46271.824999999997</v>
      </c>
      <c r="H30" s="1" t="str">
        <f t="shared" si="2"/>
        <v>8.133 hrs</v>
      </c>
      <c r="J30" s="24"/>
    </row>
    <row r="31" spans="1:10" ht="15"/>
  </sheetData>
  <mergeCells count="22">
    <mergeCell ref="A29:A30"/>
    <mergeCell ref="J3:J6"/>
    <mergeCell ref="J7:J8"/>
    <mergeCell ref="J9:J10"/>
    <mergeCell ref="J11:J12"/>
    <mergeCell ref="J13:J14"/>
    <mergeCell ref="J18:J24"/>
    <mergeCell ref="A16:I16"/>
    <mergeCell ref="D18:D24"/>
    <mergeCell ref="I18:I24"/>
    <mergeCell ref="C18:C24"/>
    <mergeCell ref="B18:B24"/>
    <mergeCell ref="A7:A8"/>
    <mergeCell ref="A9:A10"/>
    <mergeCell ref="J29:J30"/>
    <mergeCell ref="J25:J26"/>
    <mergeCell ref="A25:A26"/>
    <mergeCell ref="A11:A12"/>
    <mergeCell ref="A13:A14"/>
    <mergeCell ref="A18:A24"/>
    <mergeCell ref="A1:I1"/>
    <mergeCell ref="A3:A6"/>
  </mergeCells>
  <pageMargins left="0.7" right="0.7" top="0.75" bottom="0.75" header="0.3" footer="0.3"/>
  <headerFooter>
    <oddFooter>&amp;L_x000D_&amp;1#&amp;"Aptos"&amp;7&amp;K000000 C2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CD012BAC4FAE4E896F5AAAECA102E5" ma:contentTypeVersion="3" ma:contentTypeDescription="Create a new document." ma:contentTypeScope="" ma:versionID="108f5920a7f659166b0400f049e901a2">
  <xsd:schema xmlns:xsd="http://www.w3.org/2001/XMLSchema" xmlns:xs="http://www.w3.org/2001/XMLSchema" xmlns:p="http://schemas.microsoft.com/office/2006/metadata/properties" xmlns:ns2="59867bcf-7d7d-4c47-91c9-8ba4a7084b70" targetNamespace="http://schemas.microsoft.com/office/2006/metadata/properties" ma:root="true" ma:fieldsID="64146e308d2d8122412efd6d172366bf" ns2:_="">
    <xsd:import namespace="59867bcf-7d7d-4c47-91c9-8ba4a7084b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867bcf-7d7d-4c47-91c9-8ba4a7084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8AF556-7739-4DD1-BC1A-A548F976F818}"/>
</file>

<file path=customXml/itemProps2.xml><?xml version="1.0" encoding="utf-8"?>
<ds:datastoreItem xmlns:ds="http://schemas.openxmlformats.org/officeDocument/2006/customXml" ds:itemID="{61F6236E-A56F-41D7-AAA6-715EF825FF91}"/>
</file>

<file path=customXml/itemProps3.xml><?xml version="1.0" encoding="utf-8"?>
<ds:datastoreItem xmlns:ds="http://schemas.openxmlformats.org/officeDocument/2006/customXml" ds:itemID="{2C810DAD-6E52-4956-89A1-D8CB2E89092B}"/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Swastik Siddharth Sahu, Vodafone</dc:creator>
  <cp:keywords/>
  <dc:description/>
  <cp:lastModifiedBy>Swastik Siddharth Sahu, Vodafone</cp:lastModifiedBy>
  <cp:revision/>
  <dcterms:created xsi:type="dcterms:W3CDTF">2026-09-10T07:00:21Z</dcterms:created>
  <dcterms:modified xsi:type="dcterms:W3CDTF">2026-09-22T07:57:51Z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0x01010050CD012BAC4FAE4E896F5AAAECA102E5</vt:lpwstr>
  </property>
</Properties>
</file>